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leigh Groesbeck\Dropbox\"/>
    </mc:Choice>
  </mc:AlternateContent>
  <xr:revisionPtr revIDLastSave="0" documentId="13_ncr:1_{3442CF81-B9BA-46CF-871A-0F9E6663BEE8}" xr6:coauthVersionLast="36" xr6:coauthVersionMax="40" xr10:uidLastSave="{00000000-0000-0000-0000-000000000000}"/>
  <bookViews>
    <workbookView minimized="1" xWindow="0" yWindow="0" windowWidth="28800" windowHeight="12285" tabRatio="805" xr2:uid="{00000000-000D-0000-FFFF-FFFF00000000}"/>
  </bookViews>
  <sheets>
    <sheet name="Template" sheetId="63" r:id="rId1"/>
  </sheets>
  <definedNames>
    <definedName name="Customer">#REF!</definedName>
    <definedName name="Machine">#REF!</definedName>
    <definedName name="Statu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5" i="63" l="1"/>
  <c r="S6" i="63"/>
  <c r="S7" i="63"/>
  <c r="S8" i="63"/>
  <c r="S9" i="63"/>
  <c r="S10" i="63"/>
  <c r="S11" i="63"/>
  <c r="S12" i="63"/>
  <c r="S13" i="63"/>
  <c r="S14" i="63"/>
  <c r="S15" i="63"/>
  <c r="S16" i="63"/>
  <c r="S17" i="63"/>
  <c r="S4" i="63"/>
  <c r="X7" i="63" l="1"/>
  <c r="X5" i="63"/>
  <c r="X4" i="63"/>
  <c r="T10" i="63" s="1"/>
  <c r="X6" i="63"/>
  <c r="T5" i="63" l="1"/>
  <c r="X8" i="63"/>
  <c r="T11" i="63"/>
  <c r="T13" i="63"/>
  <c r="T15" i="63"/>
  <c r="T17" i="63"/>
  <c r="T12" i="63"/>
  <c r="T14" i="63"/>
  <c r="T9" i="63"/>
  <c r="T4" i="63"/>
  <c r="Y5" i="63"/>
  <c r="T8" i="63"/>
  <c r="T6" i="63"/>
  <c r="T16" i="63"/>
  <c r="T7" i="63"/>
  <c r="Y7" i="63" l="1"/>
  <c r="Y8" i="63" s="1"/>
  <c r="Y6" i="63"/>
</calcChain>
</file>

<file path=xl/sharedStrings.xml><?xml version="1.0" encoding="utf-8"?>
<sst xmlns="http://schemas.openxmlformats.org/spreadsheetml/2006/main" count="53" uniqueCount="31">
  <si>
    <t>Production Uptime</t>
  </si>
  <si>
    <t>Operator Downtime</t>
  </si>
  <si>
    <t>Product Downtime</t>
  </si>
  <si>
    <t>Slicer Downtime</t>
  </si>
  <si>
    <t>Buffer Downtime</t>
  </si>
  <si>
    <t>Time</t>
  </si>
  <si>
    <t>Cheese Harp Downtime</t>
  </si>
  <si>
    <t>Status</t>
  </si>
  <si>
    <t>Production Break</t>
  </si>
  <si>
    <t>Supply Roll Change</t>
  </si>
  <si>
    <t>Duration</t>
  </si>
  <si>
    <t>Production Time</t>
  </si>
  <si>
    <t>Comment</t>
  </si>
  <si>
    <t>Overall Summary</t>
  </si>
  <si>
    <t>Cumulative Summary</t>
  </si>
  <si>
    <t>Total Disturbance</t>
  </si>
  <si>
    <t>Packaging Machine Downtime</t>
  </si>
  <si>
    <t>Other Equipment</t>
  </si>
  <si>
    <t>Our Equipment</t>
  </si>
  <si>
    <t>Production Log</t>
  </si>
  <si>
    <t>Transport Conveyor Downtime</t>
  </si>
  <si>
    <t>Syncronizer Downtime</t>
  </si>
  <si>
    <t>Rocker Downtime</t>
  </si>
  <si>
    <t>Inliner Downtime</t>
  </si>
  <si>
    <t>Checkweigher Downtime</t>
  </si>
  <si>
    <t>Other Disturbance</t>
  </si>
  <si>
    <t>Our Disturbance</t>
  </si>
  <si>
    <t>Our Availability</t>
  </si>
  <si>
    <t>Replace belts</t>
  </si>
  <si>
    <t>Change cylinder</t>
  </si>
  <si>
    <t>Replace belt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</si>
</sst>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3" fillId="0" borderId="0" xfId="0" applyFont="1" applyAlignment="1">
      <alignment horizontal="left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10" fontId="0" fillId="0" borderId="0" xfId="1" applyNumberFormat="1" applyFont="1" applyAlignment="1">
      <alignment horizontal="center"/>
    </xf>
    <xf numFmtId="0" fontId="3" fillId="2" borderId="0" xfId="0" applyFont="1" applyFill="1"/>
    <xf numFmtId="164" fontId="3" fillId="2" borderId="0" xfId="0" applyNumberFormat="1" applyFont="1" applyFill="1" applyAlignment="1">
      <alignment horizontal="center" vertical="center"/>
    </xf>
    <xf numFmtId="10" fontId="3" fillId="2" borderId="0" xfId="1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10" fontId="3" fillId="2" borderId="0" xfId="1" applyNumberFormat="1" applyFont="1" applyFill="1" applyAlignment="1">
      <alignment horizontal="center"/>
    </xf>
    <xf numFmtId="0" fontId="0" fillId="2" borderId="0" xfId="0" applyFill="1"/>
    <xf numFmtId="164" fontId="3" fillId="0" borderId="0" xfId="0" applyNumberFormat="1" applyFont="1" applyFill="1" applyBorder="1" applyAlignment="1">
      <alignment vertical="center" wrapText="1"/>
    </xf>
    <xf numFmtId="164" fontId="3" fillId="2" borderId="0" xfId="0" applyNumberFormat="1" applyFont="1" applyFill="1" applyBorder="1" applyAlignment="1">
      <alignment vertical="center" wrapText="1"/>
    </xf>
    <xf numFmtId="0" fontId="3" fillId="3" borderId="0" xfId="0" applyFont="1" applyFill="1"/>
    <xf numFmtId="164" fontId="3" fillId="3" borderId="0" xfId="0" applyNumberFormat="1" applyFont="1" applyFill="1" applyAlignment="1">
      <alignment horizontal="center" vertical="center"/>
    </xf>
    <xf numFmtId="10" fontId="3" fillId="3" borderId="0" xfId="1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left" vertical="center"/>
    </xf>
    <xf numFmtId="164" fontId="3" fillId="3" borderId="0" xfId="0" applyNumberFormat="1" applyFont="1" applyFill="1" applyBorder="1" applyAlignment="1">
      <alignment vertical="center" wrapText="1"/>
    </xf>
    <xf numFmtId="0" fontId="3" fillId="3" borderId="0" xfId="0" applyFont="1" applyFill="1" applyAlignment="1">
      <alignment horizontal="center"/>
    </xf>
    <xf numFmtId="10" fontId="3" fillId="3" borderId="0" xfId="1" applyNumberFormat="1" applyFont="1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10" fontId="0" fillId="0" borderId="0" xfId="1" applyNumberFormat="1" applyFont="1" applyFill="1" applyAlignment="1">
      <alignment horizontal="center"/>
    </xf>
    <xf numFmtId="10" fontId="3" fillId="3" borderId="0" xfId="0" applyNumberFormat="1" applyFont="1" applyFill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center"/>
    </xf>
    <xf numFmtId="164" fontId="3" fillId="4" borderId="0" xfId="0" applyNumberFormat="1" applyFont="1" applyFill="1" applyBorder="1" applyAlignment="1">
      <alignment vertical="center" wrapText="1"/>
    </xf>
    <xf numFmtId="164" fontId="7" fillId="4" borderId="0" xfId="0" applyNumberFormat="1" applyFont="1" applyFill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164" fontId="8" fillId="0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0" fontId="7" fillId="4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21" fontId="8" fillId="0" borderId="0" xfId="0" applyNumberFormat="1" applyFont="1" applyFill="1" applyBorder="1" applyAlignment="1">
      <alignment horizontal="center" vertical="center" wrapText="1"/>
    </xf>
    <xf numFmtId="21" fontId="3" fillId="0" borderId="0" xfId="0" applyNumberFormat="1" applyFont="1" applyFill="1" applyBorder="1" applyAlignment="1">
      <alignment horizontal="center" wrapText="1"/>
    </xf>
    <xf numFmtId="10" fontId="3" fillId="0" borderId="0" xfId="1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left" vertical="center"/>
    </xf>
    <xf numFmtId="164" fontId="8" fillId="4" borderId="0" xfId="0" applyNumberFormat="1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left" vertical="center"/>
    </xf>
    <xf numFmtId="0" fontId="7" fillId="4" borderId="0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Summary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864-495F-9769-7E54FEC1591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864-495F-9769-7E54FEC1591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864-495F-9769-7E54FEC1591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864-495F-9769-7E54FEC1591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864-495F-9769-7E54FEC1591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5864-495F-9769-7E54FEC1591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864-495F-9769-7E54FEC1591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5864-495F-9769-7E54FEC1591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864-495F-9769-7E54FEC1591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5864-495F-9769-7E54FEC1591A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864-495F-9769-7E54FEC1591A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5864-495F-9769-7E54FEC1591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864-495F-9769-7E54FEC1591A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5864-495F-9769-7E54FEC1591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64-495F-9769-7E54FEC1591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64-495F-9769-7E54FEC1591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64-495F-9769-7E54FEC1591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64-495F-9769-7E54FEC1591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64-495F-9769-7E54FEC1591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5864-495F-9769-7E54FEC1591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64-495F-9769-7E54FEC1591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64-495F-9769-7E54FEC1591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64-495F-9769-7E54FEC1591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64-495F-9769-7E54FEC1591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64-495F-9769-7E54FEC1591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64-495F-9769-7E54FEC1591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5864-495F-9769-7E54FEC1591A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5864-495F-9769-7E54FEC1591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Template!$R$4:$R$17</c:f>
              <c:strCache>
                <c:ptCount val="14"/>
                <c:pt idx="0">
                  <c:v>Production Uptime</c:v>
                </c:pt>
                <c:pt idx="1">
                  <c:v>Cheese Harp Downtime</c:v>
                </c:pt>
                <c:pt idx="2">
                  <c:v>Product Downtime</c:v>
                </c:pt>
                <c:pt idx="3">
                  <c:v>Packaging Machine Downtime</c:v>
                </c:pt>
                <c:pt idx="4">
                  <c:v>Operator Downtime</c:v>
                </c:pt>
                <c:pt idx="5">
                  <c:v>Supply Roll Change</c:v>
                </c:pt>
                <c:pt idx="6">
                  <c:v>Production Break</c:v>
                </c:pt>
                <c:pt idx="7">
                  <c:v>Transport Conveyor Downtime</c:v>
                </c:pt>
                <c:pt idx="8">
                  <c:v>Slicer Downtime</c:v>
                </c:pt>
                <c:pt idx="9">
                  <c:v>Checkweigher Downtime</c:v>
                </c:pt>
                <c:pt idx="10">
                  <c:v>Rocker Downtime</c:v>
                </c:pt>
                <c:pt idx="11">
                  <c:v>Buffer Downtime</c:v>
                </c:pt>
                <c:pt idx="12">
                  <c:v>Inliner Downtime</c:v>
                </c:pt>
                <c:pt idx="13">
                  <c:v>Syncronizer Downtime</c:v>
                </c:pt>
              </c:strCache>
            </c:strRef>
          </c:cat>
          <c:val>
            <c:numRef>
              <c:f>Template!$T$4:$T$17</c:f>
              <c:numCache>
                <c:formatCode>0.00%</c:formatCode>
                <c:ptCount val="14"/>
                <c:pt idx="0">
                  <c:v>0.50026838432635545</c:v>
                </c:pt>
                <c:pt idx="1">
                  <c:v>0</c:v>
                </c:pt>
                <c:pt idx="2">
                  <c:v>6.4949006977992496E-2</c:v>
                </c:pt>
                <c:pt idx="3">
                  <c:v>9.2860976918947943E-2</c:v>
                </c:pt>
                <c:pt idx="4">
                  <c:v>5.9044551798174999E-2</c:v>
                </c:pt>
                <c:pt idx="5">
                  <c:v>1.5029522275899088E-2</c:v>
                </c:pt>
                <c:pt idx="6">
                  <c:v>0</c:v>
                </c:pt>
                <c:pt idx="7">
                  <c:v>4.616210413311863E-2</c:v>
                </c:pt>
                <c:pt idx="8">
                  <c:v>1.234567901234568E-2</c:v>
                </c:pt>
                <c:pt idx="9">
                  <c:v>9.9302200751476125E-2</c:v>
                </c:pt>
                <c:pt idx="10">
                  <c:v>2.415458937198068E-2</c:v>
                </c:pt>
                <c:pt idx="11">
                  <c:v>1.3955984970477725E-2</c:v>
                </c:pt>
                <c:pt idx="12">
                  <c:v>4.9919484702093404E-2</c:v>
                </c:pt>
                <c:pt idx="13">
                  <c:v>2.200751476113795E-2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4-495F-9769-7E54FEC1591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Entry        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9222" name="ToggleButton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9224" name="ToggleButton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0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9226" name="ToggleButton9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0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9228" name="ToggleButton11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9234" name="ToggleButton12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0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9241" name="ToggleButton1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0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9243" name="ToggleButton14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0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9244" name="ToggleButton1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0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9245" name="ToggleButton2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0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9246" name="ToggleButton3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0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9247" name="ToggleButton4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0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9248" name="ToggleButton6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0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9249" name="ToggleButton7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0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9250" name="ToggleButton5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0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9255" name="ToggleButton15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0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16</xdr:col>
      <xdr:colOff>0</xdr:colOff>
      <xdr:row>18</xdr:row>
      <xdr:rowOff>0</xdr:rowOff>
    </xdr:from>
    <xdr:to>
      <xdr:col>26</xdr:col>
      <xdr:colOff>1</xdr:colOff>
      <xdr:row>32</xdr:row>
      <xdr:rowOff>5292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trlProp" Target="../ctrlProps/ctrlProp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89655-A361-4B69-88B3-0DC9C33AA6F6}">
  <sheetPr codeName="lblLocation"/>
  <dimension ref="A1:Z40"/>
  <sheetViews>
    <sheetView showGridLines="0" tabSelected="1" zoomScale="90" zoomScaleNormal="90" workbookViewId="0">
      <selection activeCell="D22" sqref="D22:N22"/>
    </sheetView>
  </sheetViews>
  <sheetFormatPr defaultRowHeight="15.75" x14ac:dyDescent="0.25"/>
  <cols>
    <col min="1" max="1" width="17.42578125" style="2" customWidth="1"/>
    <col min="2" max="2" width="28.28515625" style="3" customWidth="1"/>
    <col min="3" max="3" width="16.42578125" style="34" customWidth="1"/>
    <col min="4" max="4" width="1.7109375" style="7" customWidth="1"/>
    <col min="5" max="9" width="13.7109375" style="7" customWidth="1"/>
    <col min="10" max="11" width="13.7109375" customWidth="1"/>
    <col min="12" max="13" width="1.7109375" customWidth="1"/>
    <col min="14" max="14" width="13.5703125" customWidth="1"/>
    <col min="15" max="15" width="1.7109375" style="34" customWidth="1"/>
    <col min="16" max="16" width="1.7109375" style="4" customWidth="1"/>
    <col min="17" max="17" width="1.7109375" style="5" customWidth="1"/>
    <col min="18" max="18" width="29.7109375" bestFit="1" customWidth="1"/>
    <col min="19" max="19" width="12.7109375" bestFit="1" customWidth="1"/>
    <col min="20" max="20" width="8.140625" bestFit="1" customWidth="1"/>
    <col min="21" max="21" width="1.5703125" style="33" customWidth="1"/>
    <col min="22" max="22" width="1.7109375" style="6" customWidth="1"/>
    <col min="23" max="23" width="23.7109375" style="15" bestFit="1" customWidth="1"/>
    <col min="24" max="24" width="9.7109375" bestFit="1" customWidth="1"/>
    <col min="25" max="25" width="1.7109375" customWidth="1"/>
  </cols>
  <sheetData>
    <row r="1" spans="1:26" ht="31.5" x14ac:dyDescent="0.25">
      <c r="A1" s="63" t="s">
        <v>19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</row>
    <row r="2" spans="1:26" ht="15" customHeight="1" x14ac:dyDescent="0.2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</row>
    <row r="3" spans="1:26" s="45" customFormat="1" ht="15" customHeight="1" x14ac:dyDescent="0.25">
      <c r="A3" s="10"/>
      <c r="B3" s="11"/>
      <c r="C3" s="52"/>
      <c r="D3" s="56"/>
      <c r="E3" s="66" t="s">
        <v>17</v>
      </c>
      <c r="F3" s="66"/>
      <c r="G3" s="66"/>
      <c r="H3" s="66"/>
      <c r="I3" s="66"/>
      <c r="J3" s="66"/>
      <c r="K3" s="66"/>
      <c r="L3" s="56"/>
      <c r="M3" s="58"/>
      <c r="N3" s="37"/>
      <c r="O3" s="44"/>
      <c r="P3" s="11"/>
      <c r="Q3" s="64" t="s">
        <v>14</v>
      </c>
      <c r="R3" s="64"/>
      <c r="S3" s="64"/>
      <c r="T3" s="64"/>
      <c r="U3" s="51"/>
      <c r="V3" s="64" t="s">
        <v>13</v>
      </c>
      <c r="W3" s="64"/>
      <c r="X3" s="64"/>
      <c r="Y3" s="64"/>
      <c r="Z3" s="64"/>
    </row>
    <row r="4" spans="1:26" s="1" customFormat="1" ht="15" customHeight="1" x14ac:dyDescent="0.25">
      <c r="A4" s="8"/>
      <c r="B4" s="9"/>
      <c r="C4" s="53"/>
      <c r="D4" s="28"/>
      <c r="E4" s="28"/>
      <c r="F4" s="28"/>
      <c r="G4" s="28"/>
      <c r="H4" s="28"/>
      <c r="I4" s="28"/>
      <c r="J4" s="29"/>
      <c r="K4" s="29"/>
      <c r="L4" s="29"/>
      <c r="M4" s="59"/>
      <c r="N4" s="38"/>
      <c r="O4" s="39"/>
      <c r="Q4" s="27"/>
      <c r="R4" s="24" t="s">
        <v>0</v>
      </c>
      <c r="S4" s="25" t="str">
        <f t="shared" ref="S4:S17" si="0">TEXT(SUMIF(B:B,R:R,C:C),"h:mm:ss")</f>
        <v>0:15:32</v>
      </c>
      <c r="T4" s="26">
        <f t="shared" ref="T4:T10" si="1">S4/$X$4</f>
        <v>0.50026838432635545</v>
      </c>
      <c r="U4" s="50"/>
      <c r="V4" s="26"/>
      <c r="W4" s="27" t="s">
        <v>11</v>
      </c>
      <c r="X4" s="25" t="str">
        <f>TEXT(S4+S5+S6+S11+S12+S13+S14+S15+S16+S17+S7+S8+S9,"h:mm:ss")</f>
        <v>0:31:03</v>
      </c>
      <c r="Y4" s="26">
        <v>1</v>
      </c>
      <c r="Z4" s="27"/>
    </row>
    <row r="5" spans="1:26" s="22" customFormat="1" ht="1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60"/>
      <c r="N5" s="40"/>
      <c r="O5" s="40"/>
      <c r="Q5" s="27"/>
      <c r="R5" s="24" t="s">
        <v>6</v>
      </c>
      <c r="S5" s="25" t="str">
        <f t="shared" si="0"/>
        <v>0:00:00</v>
      </c>
      <c r="T5" s="26">
        <f t="shared" si="1"/>
        <v>0</v>
      </c>
      <c r="U5" s="50"/>
      <c r="V5" s="26"/>
      <c r="W5" s="27" t="s">
        <v>15</v>
      </c>
      <c r="X5" s="31" t="str">
        <f>TEXT(S5+S6+S11+S12+S13+S14+S15+S16+S17+S7+S8+S9,"h:mm:ss")</f>
        <v>0:15:31</v>
      </c>
      <c r="Y5" s="36">
        <f>X5/X4</f>
        <v>0.49973161567364477</v>
      </c>
      <c r="Z5" s="27"/>
    </row>
    <row r="6" spans="1:26" s="14" customFormat="1" ht="15" customHeight="1" x14ac:dyDescent="0.25">
      <c r="A6" s="12"/>
      <c r="B6" s="13"/>
      <c r="C6" s="13"/>
      <c r="D6" s="56"/>
      <c r="E6" s="66"/>
      <c r="F6" s="66"/>
      <c r="G6" s="66"/>
      <c r="H6" s="66"/>
      <c r="I6" s="66"/>
      <c r="J6" s="66"/>
      <c r="K6" s="66"/>
      <c r="L6" s="56"/>
      <c r="M6" s="58"/>
      <c r="N6" s="37"/>
      <c r="O6" s="37"/>
      <c r="Q6" s="27"/>
      <c r="R6" s="24" t="s">
        <v>2</v>
      </c>
      <c r="S6" s="25" t="str">
        <f t="shared" si="0"/>
        <v>0:02:01</v>
      </c>
      <c r="T6" s="26">
        <f t="shared" si="1"/>
        <v>6.4949006977992496E-2</v>
      </c>
      <c r="U6" s="50"/>
      <c r="V6" s="26"/>
      <c r="W6" s="24" t="s">
        <v>25</v>
      </c>
      <c r="X6" s="31" t="str">
        <f>TEXT(S5+S6+S7+S8+S9,"h:mm:ss")</f>
        <v>0:07:12</v>
      </c>
      <c r="Y6" s="32">
        <f>SUM(T5:T6,T7:T9)</f>
        <v>0.23188405797101455</v>
      </c>
      <c r="Z6" s="27"/>
    </row>
    <row r="7" spans="1:26" s="1" customFormat="1" ht="15" customHeight="1" x14ac:dyDescent="0.25">
      <c r="A7" s="8"/>
      <c r="B7" s="9"/>
      <c r="C7" s="53"/>
      <c r="D7" s="28"/>
      <c r="E7" s="28"/>
      <c r="F7" s="28"/>
      <c r="G7" s="28"/>
      <c r="H7" s="28"/>
      <c r="I7" s="28"/>
      <c r="J7" s="29"/>
      <c r="K7" s="29"/>
      <c r="L7" s="29"/>
      <c r="M7" s="59"/>
      <c r="N7" s="38"/>
      <c r="O7" s="39"/>
      <c r="Q7" s="24"/>
      <c r="R7" s="24" t="s">
        <v>16</v>
      </c>
      <c r="S7" s="25" t="str">
        <f t="shared" si="0"/>
        <v>0:02:53</v>
      </c>
      <c r="T7" s="26">
        <f t="shared" si="1"/>
        <v>9.2860976918947943E-2</v>
      </c>
      <c r="U7" s="50"/>
      <c r="V7" s="18"/>
      <c r="W7" s="19" t="s">
        <v>26</v>
      </c>
      <c r="X7" s="17" t="str">
        <f>TEXT(S11+S12+S13+S14+S15+S16+S17,"h:mm:ss")</f>
        <v>0:08:19</v>
      </c>
      <c r="Y7" s="18">
        <f>SUM(T11:T17)</f>
        <v>0.26784755770263019</v>
      </c>
      <c r="Z7" s="16"/>
    </row>
    <row r="8" spans="1:26" s="22" customFormat="1" ht="15" customHeight="1" x14ac:dyDescent="0.25">
      <c r="D8" s="23"/>
      <c r="E8" s="65" t="s">
        <v>18</v>
      </c>
      <c r="F8" s="65"/>
      <c r="G8" s="65"/>
      <c r="H8" s="65"/>
      <c r="I8" s="65"/>
      <c r="J8" s="65"/>
      <c r="K8" s="65"/>
      <c r="L8" s="23"/>
      <c r="M8" s="60"/>
      <c r="N8" s="40"/>
      <c r="O8" s="40"/>
      <c r="Q8" s="24"/>
      <c r="R8" s="24" t="s">
        <v>1</v>
      </c>
      <c r="S8" s="25" t="str">
        <f t="shared" si="0"/>
        <v>0:01:50</v>
      </c>
      <c r="T8" s="26">
        <f t="shared" si="1"/>
        <v>5.9044551798174999E-2</v>
      </c>
      <c r="U8" s="50"/>
      <c r="V8" s="18"/>
      <c r="W8" s="16" t="s">
        <v>27</v>
      </c>
      <c r="X8" s="17" t="str">
        <f>TEXT(X4-X7,"h:mm:ss")</f>
        <v>0:22:44</v>
      </c>
      <c r="Y8" s="20">
        <f>1-Y7</f>
        <v>0.73215244229736975</v>
      </c>
      <c r="Z8" s="21"/>
    </row>
    <row r="9" spans="1:26" s="22" customFormat="1" ht="15" customHeight="1" x14ac:dyDescent="0.25">
      <c r="D9" s="23"/>
      <c r="E9" s="23"/>
      <c r="F9" s="23"/>
      <c r="G9" s="23"/>
      <c r="H9" s="23"/>
      <c r="I9" s="23"/>
      <c r="J9" s="23"/>
      <c r="K9" s="23"/>
      <c r="L9" s="23"/>
      <c r="M9" s="40"/>
      <c r="N9" s="40"/>
      <c r="O9" s="40"/>
      <c r="Q9" s="24"/>
      <c r="R9" s="24" t="s">
        <v>9</v>
      </c>
      <c r="S9" s="25" t="str">
        <f t="shared" si="0"/>
        <v>0:00:28</v>
      </c>
      <c r="T9" s="26">
        <f t="shared" si="1"/>
        <v>1.5029522275899088E-2</v>
      </c>
      <c r="U9" s="50"/>
      <c r="V9" s="50"/>
      <c r="W9" s="34"/>
      <c r="X9" s="35"/>
      <c r="Y9" s="33"/>
      <c r="Z9"/>
    </row>
    <row r="10" spans="1:26" s="22" customFormat="1" ht="1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40"/>
      <c r="N10" s="40"/>
      <c r="O10" s="40"/>
      <c r="Q10" s="24"/>
      <c r="R10" s="24" t="s">
        <v>8</v>
      </c>
      <c r="S10" s="25" t="str">
        <f t="shared" si="0"/>
        <v>0:00:00</v>
      </c>
      <c r="T10" s="26">
        <f t="shared" si="1"/>
        <v>0</v>
      </c>
      <c r="U10" s="50"/>
      <c r="V10" s="50"/>
      <c r="W10" s="34"/>
      <c r="X10" s="35"/>
      <c r="Y10" s="33"/>
      <c r="Z10"/>
    </row>
    <row r="11" spans="1:26" s="22" customFormat="1" ht="15" customHeight="1" x14ac:dyDescent="0.25">
      <c r="D11" s="23"/>
      <c r="E11" s="23"/>
      <c r="F11" s="23"/>
      <c r="G11" s="23"/>
      <c r="H11" s="23"/>
      <c r="I11" s="23"/>
      <c r="J11" s="23"/>
      <c r="K11" s="23"/>
      <c r="L11" s="23"/>
      <c r="M11" s="40"/>
      <c r="N11" s="40"/>
      <c r="O11" s="40"/>
      <c r="Q11" s="16"/>
      <c r="R11" s="16" t="s">
        <v>20</v>
      </c>
      <c r="S11" s="17" t="str">
        <f t="shared" si="0"/>
        <v>0:01:26</v>
      </c>
      <c r="T11" s="18">
        <f t="shared" ref="T11:T17" si="2">S11/$X$4</f>
        <v>4.616210413311863E-2</v>
      </c>
      <c r="U11" s="50"/>
      <c r="V11" s="50"/>
      <c r="W11"/>
      <c r="X11"/>
      <c r="Y11"/>
      <c r="Z11"/>
    </row>
    <row r="12" spans="1:26" s="22" customFormat="1" ht="15" customHeight="1" x14ac:dyDescent="0.25">
      <c r="D12" s="23"/>
      <c r="E12" s="23"/>
      <c r="F12" s="23"/>
      <c r="G12" s="23"/>
      <c r="H12" s="23"/>
      <c r="I12" s="23"/>
      <c r="J12" s="23"/>
      <c r="K12" s="23"/>
      <c r="L12" s="23"/>
      <c r="M12" s="40"/>
      <c r="N12" s="40"/>
      <c r="O12" s="40"/>
      <c r="Q12" s="16"/>
      <c r="R12" s="16" t="s">
        <v>3</v>
      </c>
      <c r="S12" s="17" t="str">
        <f t="shared" si="0"/>
        <v>0:00:23</v>
      </c>
      <c r="T12" s="18">
        <f t="shared" si="2"/>
        <v>1.234567901234568E-2</v>
      </c>
      <c r="U12" s="50"/>
      <c r="V12" s="50"/>
      <c r="W12"/>
      <c r="X12"/>
      <c r="Y12"/>
      <c r="Z12"/>
    </row>
    <row r="13" spans="1:26" s="22" customFormat="1" ht="1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40"/>
      <c r="N13" s="40"/>
      <c r="O13" s="40"/>
      <c r="Q13" s="16"/>
      <c r="R13" s="16" t="s">
        <v>24</v>
      </c>
      <c r="S13" s="17" t="str">
        <f t="shared" si="0"/>
        <v>0:03:05</v>
      </c>
      <c r="T13" s="18">
        <f t="shared" si="2"/>
        <v>9.9302200751476125E-2</v>
      </c>
      <c r="U13" s="50"/>
      <c r="V13" s="50"/>
      <c r="W13"/>
      <c r="X13"/>
      <c r="Y13"/>
      <c r="Z13"/>
    </row>
    <row r="14" spans="1:26" s="22" customFormat="1" ht="15" customHeight="1" x14ac:dyDescent="0.25">
      <c r="Q14" s="16"/>
      <c r="R14" s="16" t="s">
        <v>22</v>
      </c>
      <c r="S14" s="17" t="str">
        <f t="shared" si="0"/>
        <v>0:00:45</v>
      </c>
      <c r="T14" s="18">
        <f t="shared" si="2"/>
        <v>2.415458937198068E-2</v>
      </c>
      <c r="U14" s="50"/>
      <c r="V14" s="50"/>
      <c r="W14"/>
      <c r="X14"/>
      <c r="Y14"/>
      <c r="Z14"/>
    </row>
    <row r="15" spans="1:26" s="22" customFormat="1" ht="15" customHeight="1" x14ac:dyDescent="0.25">
      <c r="Q15" s="16"/>
      <c r="R15" s="16" t="s">
        <v>4</v>
      </c>
      <c r="S15" s="17" t="str">
        <f t="shared" si="0"/>
        <v>0:00:26</v>
      </c>
      <c r="T15" s="18">
        <f t="shared" si="2"/>
        <v>1.3955984970477725E-2</v>
      </c>
      <c r="U15" s="50"/>
      <c r="V15" s="50"/>
      <c r="W15"/>
      <c r="X15"/>
      <c r="Y15"/>
      <c r="Z15"/>
    </row>
    <row r="16" spans="1:26" s="22" customFormat="1" ht="15" customHeight="1" x14ac:dyDescent="0.25">
      <c r="Q16" s="16"/>
      <c r="R16" s="16" t="s">
        <v>23</v>
      </c>
      <c r="S16" s="17" t="str">
        <f t="shared" si="0"/>
        <v>0:01:33</v>
      </c>
      <c r="T16" s="18">
        <f t="shared" si="2"/>
        <v>4.9919484702093404E-2</v>
      </c>
      <c r="U16" s="50"/>
      <c r="V16" s="50"/>
      <c r="W16"/>
      <c r="X16"/>
      <c r="Y16"/>
      <c r="Z16"/>
    </row>
    <row r="17" spans="1:26" s="22" customFormat="1" ht="15" customHeight="1" x14ac:dyDescent="0.25">
      <c r="Q17" s="16"/>
      <c r="R17" s="16" t="s">
        <v>21</v>
      </c>
      <c r="S17" s="17" t="str">
        <f t="shared" si="0"/>
        <v>0:00:41</v>
      </c>
      <c r="T17" s="18">
        <f t="shared" si="2"/>
        <v>2.200751476113795E-2</v>
      </c>
      <c r="U17" s="50"/>
      <c r="V17" s="50"/>
      <c r="W17"/>
      <c r="X17"/>
      <c r="Y17"/>
      <c r="Z17"/>
    </row>
    <row r="18" spans="1:26" s="1" customFormat="1" ht="15.75" customHeight="1" x14ac:dyDescent="0.25">
      <c r="A18" s="41" t="s">
        <v>5</v>
      </c>
      <c r="B18" s="42" t="s">
        <v>7</v>
      </c>
      <c r="C18" s="46" t="s">
        <v>10</v>
      </c>
      <c r="D18" s="42"/>
      <c r="E18" s="67" t="s">
        <v>12</v>
      </c>
      <c r="F18" s="67"/>
      <c r="G18" s="67"/>
      <c r="H18" s="67"/>
      <c r="I18" s="67"/>
      <c r="J18" s="67"/>
      <c r="K18" s="67"/>
      <c r="L18" s="42"/>
      <c r="M18" s="57"/>
      <c r="N18" s="42"/>
      <c r="O18" s="49"/>
    </row>
    <row r="19" spans="1:26" ht="18.75" x14ac:dyDescent="0.25">
      <c r="A19" s="43">
        <v>43582.886180555557</v>
      </c>
      <c r="B19" s="54" t="s">
        <v>8</v>
      </c>
      <c r="C19" s="47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2"/>
    </row>
    <row r="20" spans="1:26" ht="18.75" x14ac:dyDescent="0.25">
      <c r="A20" s="43">
        <v>43582.885706018518</v>
      </c>
      <c r="B20" s="54" t="s">
        <v>21</v>
      </c>
      <c r="C20" s="48">
        <v>4.7453703703703704E-4</v>
      </c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2"/>
    </row>
    <row r="21" spans="1:26" ht="18.75" x14ac:dyDescent="0.25">
      <c r="A21" s="43">
        <v>43582.884629629632</v>
      </c>
      <c r="B21" s="54" t="s">
        <v>23</v>
      </c>
      <c r="C21" s="48">
        <v>1.0763888888888889E-3</v>
      </c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2"/>
    </row>
    <row r="22" spans="1:26" ht="18.75" x14ac:dyDescent="0.25">
      <c r="A22" s="43">
        <v>43582.883530092593</v>
      </c>
      <c r="B22" s="54" t="s">
        <v>2</v>
      </c>
      <c r="C22" s="48">
        <v>1.0995370370370371E-3</v>
      </c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2"/>
    </row>
    <row r="23" spans="1:26" ht="18.75" x14ac:dyDescent="0.25">
      <c r="A23" s="43">
        <v>43582.883229166669</v>
      </c>
      <c r="B23" s="54" t="s">
        <v>4</v>
      </c>
      <c r="C23" s="48">
        <v>3.0092592592592595E-4</v>
      </c>
      <c r="D23" s="61" t="s">
        <v>30</v>
      </c>
      <c r="E23" s="61"/>
      <c r="F23" s="61"/>
      <c r="G23" s="61"/>
      <c r="H23" s="61"/>
      <c r="I23" s="61"/>
      <c r="J23" s="61"/>
      <c r="K23" s="61"/>
      <c r="L23" s="61"/>
      <c r="M23" s="61"/>
      <c r="N23" s="62"/>
    </row>
    <row r="24" spans="1:26" ht="18.75" x14ac:dyDescent="0.25">
      <c r="A24" s="43">
        <v>43582.883125</v>
      </c>
      <c r="B24" s="54" t="s">
        <v>20</v>
      </c>
      <c r="C24" s="48">
        <v>1.0416666666666667E-4</v>
      </c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2"/>
    </row>
    <row r="25" spans="1:26" ht="18.75" x14ac:dyDescent="0.25">
      <c r="A25" s="43">
        <v>43582.87976851852</v>
      </c>
      <c r="B25" s="54" t="s">
        <v>0</v>
      </c>
      <c r="C25" s="48">
        <v>3.3564814814814811E-3</v>
      </c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2"/>
    </row>
    <row r="26" spans="1:26" ht="18.75" x14ac:dyDescent="0.25">
      <c r="A26" s="43">
        <v>43582.877627314818</v>
      </c>
      <c r="B26" s="54" t="s">
        <v>24</v>
      </c>
      <c r="C26" s="48">
        <v>2.1412037037037038E-3</v>
      </c>
      <c r="D26" s="61" t="s">
        <v>28</v>
      </c>
      <c r="E26" s="61"/>
      <c r="F26" s="61"/>
      <c r="G26" s="61"/>
      <c r="H26" s="61"/>
      <c r="I26" s="61"/>
      <c r="J26" s="61"/>
      <c r="K26" s="61"/>
      <c r="L26" s="61"/>
      <c r="M26" s="61"/>
      <c r="N26" s="62"/>
    </row>
    <row r="27" spans="1:26" ht="18.75" x14ac:dyDescent="0.25">
      <c r="A27" s="43">
        <v>43582.877303240741</v>
      </c>
      <c r="B27" s="54" t="s">
        <v>0</v>
      </c>
      <c r="C27" s="48">
        <v>3.2407407407407406E-4</v>
      </c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2"/>
    </row>
    <row r="28" spans="1:26" ht="18.75" x14ac:dyDescent="0.25">
      <c r="A28" s="43">
        <v>43582.876030092593</v>
      </c>
      <c r="B28" s="54" t="s">
        <v>1</v>
      </c>
      <c r="C28" s="48">
        <v>1.2731481481481483E-3</v>
      </c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2"/>
    </row>
    <row r="29" spans="1:26" ht="18.75" x14ac:dyDescent="0.25">
      <c r="A29" s="43">
        <v>43582.875358796293</v>
      </c>
      <c r="B29" s="54" t="s">
        <v>0</v>
      </c>
      <c r="C29" s="48">
        <v>6.7129629629629625E-4</v>
      </c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2"/>
    </row>
    <row r="30" spans="1:26" ht="18.75" x14ac:dyDescent="0.25">
      <c r="A30" s="43">
        <v>43582.873356481483</v>
      </c>
      <c r="B30" s="54" t="s">
        <v>16</v>
      </c>
      <c r="C30" s="48">
        <v>2.0023148148148148E-3</v>
      </c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2"/>
    </row>
    <row r="31" spans="1:26" ht="18.75" x14ac:dyDescent="0.25">
      <c r="A31" s="43">
        <v>43582.872974537036</v>
      </c>
      <c r="B31" s="54" t="s">
        <v>0</v>
      </c>
      <c r="C31" s="48">
        <v>3.8194444444444446E-4</v>
      </c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2"/>
    </row>
    <row r="32" spans="1:26" ht="18.75" x14ac:dyDescent="0.25">
      <c r="A32" s="43">
        <v>43582.872083333335</v>
      </c>
      <c r="B32" s="54" t="s">
        <v>20</v>
      </c>
      <c r="C32" s="48">
        <v>8.9120370370370362E-4</v>
      </c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2"/>
    </row>
    <row r="33" spans="1:14" ht="18.75" x14ac:dyDescent="0.25">
      <c r="A33" s="43">
        <v>43582.867812500001</v>
      </c>
      <c r="B33" s="54" t="s">
        <v>0</v>
      </c>
      <c r="C33" s="48">
        <v>4.2708333333333339E-3</v>
      </c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2"/>
    </row>
    <row r="34" spans="1:14" ht="18.75" x14ac:dyDescent="0.25">
      <c r="A34" s="43">
        <v>43582.867291666669</v>
      </c>
      <c r="B34" s="54" t="s">
        <v>22</v>
      </c>
      <c r="C34" s="48">
        <v>5.2083333333333333E-4</v>
      </c>
      <c r="D34" s="61" t="s">
        <v>29</v>
      </c>
      <c r="E34" s="61"/>
      <c r="F34" s="61"/>
      <c r="G34" s="61"/>
      <c r="H34" s="61"/>
      <c r="I34" s="61"/>
      <c r="J34" s="61"/>
      <c r="K34" s="61"/>
      <c r="L34" s="61"/>
      <c r="M34" s="61"/>
      <c r="N34" s="62"/>
    </row>
    <row r="35" spans="1:14" ht="18.75" x14ac:dyDescent="0.25">
      <c r="A35" s="43">
        <v>43582.866967592592</v>
      </c>
      <c r="B35" s="54" t="s">
        <v>9</v>
      </c>
      <c r="C35" s="48">
        <v>3.2407407407407406E-4</v>
      </c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2"/>
    </row>
    <row r="36" spans="1:14" ht="18.75" x14ac:dyDescent="0.25">
      <c r="A36" s="43">
        <v>43582.865937499999</v>
      </c>
      <c r="B36" s="54" t="s">
        <v>0</v>
      </c>
      <c r="C36" s="48">
        <v>1.0300925925925926E-3</v>
      </c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2"/>
    </row>
    <row r="37" spans="1:14" ht="18.75" x14ac:dyDescent="0.25">
      <c r="A37" s="43">
        <v>43582.865671296298</v>
      </c>
      <c r="B37" s="54" t="s">
        <v>3</v>
      </c>
      <c r="C37" s="48">
        <v>2.6620370370370372E-4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2"/>
    </row>
    <row r="38" spans="1:14" ht="18.75" x14ac:dyDescent="0.25">
      <c r="A38" s="43">
        <v>43582.865254629629</v>
      </c>
      <c r="B38" s="54" t="s">
        <v>0</v>
      </c>
      <c r="C38" s="48">
        <v>4.1666666666666669E-4</v>
      </c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2"/>
    </row>
    <row r="39" spans="1:14" ht="18.75" x14ac:dyDescent="0.25">
      <c r="A39" s="43">
        <v>43582.864953703705</v>
      </c>
      <c r="B39" s="54" t="s">
        <v>2</v>
      </c>
      <c r="C39" s="48">
        <v>3.0092592592592595E-4</v>
      </c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2"/>
    </row>
    <row r="40" spans="1:14" ht="18.75" x14ac:dyDescent="0.25">
      <c r="A40" s="43">
        <v>43582.864618055559</v>
      </c>
      <c r="B40" s="54" t="s">
        <v>0</v>
      </c>
      <c r="C40" s="48">
        <v>3.3564814814814812E-4</v>
      </c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2"/>
    </row>
  </sheetData>
  <mergeCells count="29">
    <mergeCell ref="E8:K8"/>
    <mergeCell ref="E6:K6"/>
    <mergeCell ref="E3:K3"/>
    <mergeCell ref="E18:K18"/>
    <mergeCell ref="A1:Z1"/>
    <mergeCell ref="V3:Z3"/>
    <mergeCell ref="Q3:T3"/>
    <mergeCell ref="D35:N35"/>
    <mergeCell ref="D34:N34"/>
    <mergeCell ref="D33:N33"/>
    <mergeCell ref="D32:N32"/>
    <mergeCell ref="D31:N31"/>
    <mergeCell ref="D25:N25"/>
    <mergeCell ref="D24:N24"/>
    <mergeCell ref="D23:N23"/>
    <mergeCell ref="D22:N22"/>
    <mergeCell ref="D30:N30"/>
    <mergeCell ref="D29:N29"/>
    <mergeCell ref="D28:N28"/>
    <mergeCell ref="D27:N27"/>
    <mergeCell ref="D26:N26"/>
    <mergeCell ref="D20:N20"/>
    <mergeCell ref="D19:N19"/>
    <mergeCell ref="D40:N40"/>
    <mergeCell ref="D39:N39"/>
    <mergeCell ref="D38:N38"/>
    <mergeCell ref="D37:N37"/>
    <mergeCell ref="D36:N36"/>
    <mergeCell ref="D21:N2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50" r:id="rId4" name="ToggleButton5">
          <controlPr defaultSize="0" autoLine="0" r:id="rId5">
            <anchor moveWithCells="1" sizeWithCells="1">
              <from>
                <xdr:col>8</xdr:col>
                <xdr:colOff>0</xdr:colOff>
                <xdr:row>3</xdr:row>
                <xdr:rowOff>0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50" r:id="rId4" name="ToggleButton5"/>
      </mc:Fallback>
    </mc:AlternateContent>
    <mc:AlternateContent xmlns:mc="http://schemas.openxmlformats.org/markup-compatibility/2006">
      <mc:Choice Requires="x14">
        <control shapeId="9249" r:id="rId6" name="ToggleButton7">
          <controlPr defaultSize="0" autoLine="0" r:id="rId7">
            <anchor moveWithCells="1" sizeWithCells="1">
              <from>
                <xdr:col>10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49" r:id="rId6" name="ToggleButton7"/>
      </mc:Fallback>
    </mc:AlternateContent>
    <mc:AlternateContent xmlns:mc="http://schemas.openxmlformats.org/markup-compatibility/2006">
      <mc:Choice Requires="x14">
        <control shapeId="9248" r:id="rId8" name="ToggleButton6">
          <controlPr defaultSize="0" autoLine="0" r:id="rId9">
            <anchor moveWithCells="1" sizeWithCells="1">
              <from>
                <xdr:col>9</xdr:col>
                <xdr:colOff>0</xdr:colOff>
                <xdr:row>3</xdr:row>
                <xdr:rowOff>0</xdr:rowOff>
              </from>
              <to>
                <xdr:col>10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48" r:id="rId8" name="ToggleButton6"/>
      </mc:Fallback>
    </mc:AlternateContent>
    <mc:AlternateContent xmlns:mc="http://schemas.openxmlformats.org/markup-compatibility/2006">
      <mc:Choice Requires="x14">
        <control shapeId="9247" r:id="rId10" name="ToggleButton4">
          <controlPr defaultSize="0" autoLine="0" r:id="rId11">
            <anchor moveWithCells="1" siz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47" r:id="rId10" name="ToggleButton4"/>
      </mc:Fallback>
    </mc:AlternateContent>
    <mc:AlternateContent xmlns:mc="http://schemas.openxmlformats.org/markup-compatibility/2006">
      <mc:Choice Requires="x14">
        <control shapeId="9246" r:id="rId12" name="ToggleButton3">
          <controlPr defaultSize="0" autoLine="0" autoPict="0" r:id="rId13">
            <anchor moveWithCells="1" siz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46" r:id="rId12" name="ToggleButton3"/>
      </mc:Fallback>
    </mc:AlternateContent>
    <mc:AlternateContent xmlns:mc="http://schemas.openxmlformats.org/markup-compatibility/2006">
      <mc:Choice Requires="x14">
        <control shapeId="9245" r:id="rId14" name="ToggleButton2">
          <controlPr defaultSize="0" autoLine="0" autoPict="0" r:id="rId15">
            <anchor moveWithCells="1" siz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45" r:id="rId14" name="ToggleButton2"/>
      </mc:Fallback>
    </mc:AlternateContent>
    <mc:AlternateContent xmlns:mc="http://schemas.openxmlformats.org/markup-compatibility/2006">
      <mc:Choice Requires="x14">
        <control shapeId="9244" r:id="rId16" name="ToggleButton13">
          <controlPr defaultSize="0" autoLine="0" r:id="rId17">
            <anchor moveWithCells="1" sizeWithCells="1">
              <from>
                <xdr:col>9</xdr:col>
                <xdr:colOff>0</xdr:colOff>
                <xdr:row>8</xdr:row>
                <xdr:rowOff>0</xdr:rowOff>
              </from>
              <to>
                <xdr:col>10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9244" r:id="rId16" name="ToggleButton13"/>
      </mc:Fallback>
    </mc:AlternateContent>
    <mc:AlternateContent xmlns:mc="http://schemas.openxmlformats.org/markup-compatibility/2006">
      <mc:Choice Requires="x14">
        <control shapeId="9243" r:id="rId18" name="ToggleButton14">
          <controlPr defaultSize="0" autoLine="0" r:id="rId19">
            <anchor moveWithCells="1" sizeWithCells="1">
              <from>
                <xdr:col>10</xdr:col>
                <xdr:colOff>0</xdr:colOff>
                <xdr:row>8</xdr:row>
                <xdr:rowOff>0</xdr:rowOff>
              </from>
              <to>
                <xdr:col>11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9243" r:id="rId18" name="ToggleButton14"/>
      </mc:Fallback>
    </mc:AlternateContent>
    <mc:AlternateContent xmlns:mc="http://schemas.openxmlformats.org/markup-compatibility/2006">
      <mc:Choice Requires="x14">
        <control shapeId="9241" r:id="rId20" name="ToggleButton10">
          <controlPr defaultSize="0" autoLine="0" autoPict="0" r:id="rId21">
            <anchor moveWithCells="1" sizeWithCells="1">
              <from>
                <xdr:col>6</xdr:col>
                <xdr:colOff>0</xdr:colOff>
                <xdr:row>8</xdr:row>
                <xdr:rowOff>0</xdr:rowOff>
              </from>
              <to>
                <xdr:col>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9241" r:id="rId20" name="ToggleButton10"/>
      </mc:Fallback>
    </mc:AlternateContent>
    <mc:AlternateContent xmlns:mc="http://schemas.openxmlformats.org/markup-compatibility/2006">
      <mc:Choice Requires="x14">
        <control shapeId="9234" r:id="rId22" name="ToggleButton12">
          <controlPr defaultSize="0" autoLine="0" r:id="rId23">
            <anchor moveWithCells="1" sizeWithCells="1">
              <from>
                <xdr:col>8</xdr:col>
                <xdr:colOff>0</xdr:colOff>
                <xdr:row>8</xdr:row>
                <xdr:rowOff>0</xdr:rowOff>
              </from>
              <to>
                <xdr:col>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9234" r:id="rId22" name="ToggleButton12"/>
      </mc:Fallback>
    </mc:AlternateContent>
    <mc:AlternateContent xmlns:mc="http://schemas.openxmlformats.org/markup-compatibility/2006">
      <mc:Choice Requires="x14">
        <control shapeId="9228" r:id="rId24" name="ToggleButton11">
          <controlPr defaultSize="0" autoLine="0" autoPict="0" r:id="rId25">
            <anchor moveWithCells="1" sizeWithCells="1">
              <from>
                <xdr:col>7</xdr:col>
                <xdr:colOff>0</xdr:colOff>
                <xdr:row>8</xdr:row>
                <xdr:rowOff>0</xdr:rowOff>
              </from>
              <to>
                <xdr:col>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9228" r:id="rId24" name="ToggleButton11"/>
      </mc:Fallback>
    </mc:AlternateContent>
    <mc:AlternateContent xmlns:mc="http://schemas.openxmlformats.org/markup-compatibility/2006">
      <mc:Choice Requires="x14">
        <control shapeId="9226" r:id="rId26" name="ToggleButton9">
          <controlPr defaultSize="0" autoLine="0" autoPict="0" r:id="rId27">
            <anchor moveWithCells="1" sizeWithCells="1">
              <from>
                <xdr:col>5</xdr:col>
                <xdr:colOff>0</xdr:colOff>
                <xdr:row>8</xdr:row>
                <xdr:rowOff>0</xdr:rowOff>
              </from>
              <to>
                <xdr:col>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9226" r:id="rId26" name="ToggleButton9"/>
      </mc:Fallback>
    </mc:AlternateContent>
    <mc:AlternateContent xmlns:mc="http://schemas.openxmlformats.org/markup-compatibility/2006">
      <mc:Choice Requires="x14">
        <control shapeId="9224" r:id="rId28" name="ToggleButton8">
          <controlPr defaultSize="0" autoLine="0" autoPict="0" r:id="rId29">
            <anchor moveWithCells="1" siz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9224" r:id="rId28" name="ToggleButton8"/>
      </mc:Fallback>
    </mc:AlternateContent>
    <mc:AlternateContent xmlns:mc="http://schemas.openxmlformats.org/markup-compatibility/2006">
      <mc:Choice Requires="x14">
        <control shapeId="9222" r:id="rId30" name="ToggleButton1">
          <controlPr defaultSize="0" autoLine="0" autoPict="0" r:id="rId31">
            <anchor moveWithCells="1" siz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22" r:id="rId30" name="ToggleButton1"/>
      </mc:Fallback>
    </mc:AlternateContent>
    <mc:AlternateContent xmlns:mc="http://schemas.openxmlformats.org/markup-compatibility/2006">
      <mc:Choice Requires="x14">
        <control shapeId="9255" r:id="rId32" name="ToggleButton15">
          <controlPr defaultSize="0" autoLine="0" autoPict="0" r:id="rId33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14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9255" r:id="rId32" name="ToggleButton15"/>
      </mc:Fallback>
    </mc:AlternateContent>
    <mc:AlternateContent xmlns:mc="http://schemas.openxmlformats.org/markup-compatibility/2006">
      <mc:Choice Requires="x14">
        <control shapeId="9219" r:id="rId34" name="Button 3">
          <controlPr defaultSize="0" print="0" autoFill="0" autoPict="0" macro="[0]!LogEntry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14</xdr:col>
                <xdr:colOff>0</xdr:colOff>
                <xdr:row>12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 Briel</dc:creator>
  <cp:lastModifiedBy>Raleigh Groesbeck</cp:lastModifiedBy>
  <cp:lastPrinted>2018-03-05T20:01:34Z</cp:lastPrinted>
  <dcterms:created xsi:type="dcterms:W3CDTF">2015-06-30T02:12:47Z</dcterms:created>
  <dcterms:modified xsi:type="dcterms:W3CDTF">2019-05-01T10:31:44Z</dcterms:modified>
</cp:coreProperties>
</file>